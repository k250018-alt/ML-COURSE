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Approval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9C0006"/>
      <sz val="10"/>
    </font>
    <font>
      <name val="Arial"/>
      <color rgb="00276221"/>
      <sz val="10"/>
    </font>
    <font>
      <name val="Arial"/>
      <b val="1"/>
      <sz val="14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EF2FF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4" customWidth="1" min="4" max="4"/>
    <col width="16" customWidth="1" min="5" max="5"/>
    <col width="12" customWidth="1" min="6" max="6"/>
    <col width="10" customWidth="1" min="7" max="7"/>
    <col width="12" customWidth="1" min="8" max="8"/>
  </cols>
  <sheetData>
    <row r="1" ht="25" customHeight="1">
      <c r="A1" s="1" t="inlineStr">
        <is>
          <t>Age</t>
        </is>
      </c>
      <c r="B1" s="1" t="inlineStr">
        <is>
          <t>Salary</t>
        </is>
      </c>
      <c r="C1" s="1" t="inlineStr">
        <is>
          <t>Years_Employed</t>
        </is>
      </c>
      <c r="D1" s="1" t="inlineStr">
        <is>
          <t>Credit_Score</t>
        </is>
      </c>
      <c r="E1" s="1" t="inlineStr">
        <is>
          <t>Existing_Loans</t>
        </is>
      </c>
      <c r="F1" s="1" t="inlineStr">
        <is>
          <t>Education</t>
        </is>
      </c>
      <c r="G1" s="1" t="inlineStr">
        <is>
          <t>Married</t>
        </is>
      </c>
      <c r="H1" s="1" t="inlineStr">
        <is>
          <t>Approved</t>
        </is>
      </c>
    </row>
    <row r="2">
      <c r="A2" s="2" t="n">
        <v>25</v>
      </c>
      <c r="B2" s="2" t="n">
        <v>32000</v>
      </c>
      <c r="C2" s="2" t="n">
        <v>2</v>
      </c>
      <c r="D2" s="2" t="n">
        <v>620</v>
      </c>
      <c r="E2" s="2" t="n">
        <v>0</v>
      </c>
      <c r="F2" s="2" t="inlineStr">
        <is>
          <t>Bachelor</t>
        </is>
      </c>
      <c r="G2" s="2" t="n">
        <v>0</v>
      </c>
      <c r="H2" s="3" t="n">
        <v>0</v>
      </c>
    </row>
    <row r="3">
      <c r="A3" s="4" t="n">
        <v>34</v>
      </c>
      <c r="B3" s="4" t="n">
        <v>55000</v>
      </c>
      <c r="C3" s="4" t="n">
        <v>7</v>
      </c>
      <c r="D3" s="4" t="n">
        <v>710</v>
      </c>
      <c r="E3" s="4" t="n">
        <v>1</v>
      </c>
      <c r="F3" s="4" t="inlineStr">
        <is>
          <t>Master</t>
        </is>
      </c>
      <c r="G3" s="4" t="n">
        <v>1</v>
      </c>
      <c r="H3" s="5" t="n">
        <v>1</v>
      </c>
    </row>
    <row r="4">
      <c r="A4" s="2" t="n">
        <v>28</v>
      </c>
      <c r="B4" s="2" t="n">
        <v>41000</v>
      </c>
      <c r="C4" s="2" t="n">
        <v>3</v>
      </c>
      <c r="D4" s="2" t="n">
        <v>650</v>
      </c>
      <c r="E4" s="2" t="n">
        <v>0</v>
      </c>
      <c r="F4" s="2" t="inlineStr">
        <is>
          <t>Bachelor</t>
        </is>
      </c>
      <c r="G4" s="2" t="n">
        <v>0</v>
      </c>
      <c r="H4" s="5" t="n">
        <v>1</v>
      </c>
    </row>
    <row r="5">
      <c r="A5" s="4" t="n">
        <v>45</v>
      </c>
      <c r="B5" s="4" t="n">
        <v>80000</v>
      </c>
      <c r="C5" s="4" t="n">
        <v>15</v>
      </c>
      <c r="D5" s="4" t="n">
        <v>780</v>
      </c>
      <c r="E5" s="4" t="n">
        <v>2</v>
      </c>
      <c r="F5" s="4" t="inlineStr">
        <is>
          <t>Master</t>
        </is>
      </c>
      <c r="G5" s="4" t="n">
        <v>1</v>
      </c>
      <c r="H5" s="5" t="n">
        <v>1</v>
      </c>
    </row>
    <row r="6">
      <c r="A6" s="2" t="n">
        <v>22</v>
      </c>
      <c r="B6" s="2" t="n">
        <v>22000</v>
      </c>
      <c r="C6" s="2" t="n">
        <v>1</v>
      </c>
      <c r="D6" s="2" t="n">
        <v>580</v>
      </c>
      <c r="E6" s="2" t="n">
        <v>0</v>
      </c>
      <c r="F6" s="2" t="inlineStr">
        <is>
          <t>High School</t>
        </is>
      </c>
      <c r="G6" s="2" t="n">
        <v>0</v>
      </c>
      <c r="H6" s="3" t="n">
        <v>0</v>
      </c>
    </row>
    <row r="7">
      <c r="A7" s="4" t="n">
        <v>38</v>
      </c>
      <c r="B7" s="4" t="n">
        <v>67000</v>
      </c>
      <c r="C7" s="4" t="n">
        <v>10</v>
      </c>
      <c r="D7" s="4" t="n">
        <v>740</v>
      </c>
      <c r="E7" s="4" t="n">
        <v>1</v>
      </c>
      <c r="F7" s="4" t="inlineStr">
        <is>
          <t>Bachelor</t>
        </is>
      </c>
      <c r="G7" s="4" t="n">
        <v>1</v>
      </c>
      <c r="H7" s="5" t="n">
        <v>1</v>
      </c>
    </row>
    <row r="8">
      <c r="A8" s="2" t="n">
        <v>52</v>
      </c>
      <c r="B8" s="2" t="n">
        <v>95000</v>
      </c>
      <c r="C8" s="2" t="n">
        <v>20</v>
      </c>
      <c r="D8" s="2" t="n">
        <v>800</v>
      </c>
      <c r="E8" s="2" t="n">
        <v>0</v>
      </c>
      <c r="F8" s="2" t="inlineStr">
        <is>
          <t>PhD</t>
        </is>
      </c>
      <c r="G8" s="2" t="n">
        <v>1</v>
      </c>
      <c r="H8" s="5" t="n">
        <v>1</v>
      </c>
    </row>
    <row r="9">
      <c r="A9" s="4" t="n">
        <v>29</v>
      </c>
      <c r="B9" s="4" t="n">
        <v>35000</v>
      </c>
      <c r="C9" s="4" t="n">
        <v>4</v>
      </c>
      <c r="D9" s="4" t="n">
        <v>600</v>
      </c>
      <c r="E9" s="4" t="n">
        <v>2</v>
      </c>
      <c r="F9" s="4" t="inlineStr">
        <is>
          <t>Bachelor</t>
        </is>
      </c>
      <c r="G9" s="4" t="n">
        <v>0</v>
      </c>
      <c r="H9" s="3" t="n">
        <v>0</v>
      </c>
    </row>
    <row r="10">
      <c r="A10" s="2" t="n">
        <v>41</v>
      </c>
      <c r="B10" s="2" t="n">
        <v>72000</v>
      </c>
      <c r="C10" s="2" t="n">
        <v>12</v>
      </c>
      <c r="D10" s="2" t="n">
        <v>760</v>
      </c>
      <c r="E10" s="2" t="n">
        <v>1</v>
      </c>
      <c r="F10" s="2" t="inlineStr">
        <is>
          <t>Master</t>
        </is>
      </c>
      <c r="G10" s="2" t="n">
        <v>1</v>
      </c>
      <c r="H10" s="5" t="n">
        <v>1</v>
      </c>
    </row>
    <row r="11">
      <c r="A11" s="4" t="n">
        <v>23</v>
      </c>
      <c r="B11" s="4" t="n">
        <v>28000</v>
      </c>
      <c r="C11" s="4" t="n">
        <v>1</v>
      </c>
      <c r="D11" s="4" t="n">
        <v>590</v>
      </c>
      <c r="E11" s="4" t="n">
        <v>1</v>
      </c>
      <c r="F11" s="4" t="inlineStr">
        <is>
          <t>High School</t>
        </is>
      </c>
      <c r="G11" s="4" t="n">
        <v>0</v>
      </c>
      <c r="H11" s="3" t="n">
        <v>0</v>
      </c>
    </row>
    <row r="12">
      <c r="A12" s="2" t="n">
        <v>36</v>
      </c>
      <c r="B12" s="2" t="n">
        <v>51000</v>
      </c>
      <c r="C12" s="2" t="n">
        <v>8</v>
      </c>
      <c r="D12" s="2" t="n">
        <v>690</v>
      </c>
      <c r="E12" s="2" t="n">
        <v>0</v>
      </c>
      <c r="F12" s="2" t="inlineStr">
        <is>
          <t>Bachelor</t>
        </is>
      </c>
      <c r="G12" s="2" t="n">
        <v>0</v>
      </c>
      <c r="H12" s="5" t="n">
        <v>1</v>
      </c>
    </row>
    <row r="13">
      <c r="A13" s="4" t="n">
        <v>48</v>
      </c>
      <c r="B13" s="4" t="n">
        <v>88000</v>
      </c>
      <c r="C13" s="4" t="n">
        <v>18</v>
      </c>
      <c r="D13" s="4" t="n">
        <v>790</v>
      </c>
      <c r="E13" s="4" t="n">
        <v>2</v>
      </c>
      <c r="F13" s="4" t="inlineStr">
        <is>
          <t>Master</t>
        </is>
      </c>
      <c r="G13" s="4" t="n">
        <v>1</v>
      </c>
      <c r="H13" s="5" t="n">
        <v>1</v>
      </c>
    </row>
    <row r="14">
      <c r="A14" s="2" t="n">
        <v>31</v>
      </c>
      <c r="B14" s="2" t="n">
        <v>44000</v>
      </c>
      <c r="C14" s="2" t="n">
        <v>5</v>
      </c>
      <c r="D14" s="2" t="n">
        <v>660</v>
      </c>
      <c r="E14" s="2" t="n">
        <v>1</v>
      </c>
      <c r="F14" s="2" t="inlineStr">
        <is>
          <t>Bachelor</t>
        </is>
      </c>
      <c r="G14" s="2" t="n">
        <v>1</v>
      </c>
      <c r="H14" s="3" t="n">
        <v>0</v>
      </c>
    </row>
    <row r="15">
      <c r="A15" s="4" t="n">
        <v>27</v>
      </c>
      <c r="B15" s="4" t="n">
        <v>38000</v>
      </c>
      <c r="C15" s="4" t="n">
        <v>3</v>
      </c>
      <c r="D15" s="4" t="n">
        <v>630</v>
      </c>
      <c r="E15" s="4" t="n">
        <v>0</v>
      </c>
      <c r="F15" s="4" t="inlineStr">
        <is>
          <t>Bachelor</t>
        </is>
      </c>
      <c r="G15" s="4" t="n">
        <v>0</v>
      </c>
      <c r="H15" s="3" t="n">
        <v>0</v>
      </c>
    </row>
    <row r="16">
      <c r="A16" s="2" t="n">
        <v>55</v>
      </c>
      <c r="B16" s="2" t="n">
        <v>102000</v>
      </c>
      <c r="C16" s="2" t="n">
        <v>25</v>
      </c>
      <c r="D16" s="2" t="n">
        <v>820</v>
      </c>
      <c r="E16" s="2" t="n">
        <v>0</v>
      </c>
      <c r="F16" s="2" t="inlineStr">
        <is>
          <t>PhD</t>
        </is>
      </c>
      <c r="G16" s="2" t="n">
        <v>1</v>
      </c>
      <c r="H16" s="5" t="n">
        <v>1</v>
      </c>
    </row>
    <row r="17">
      <c r="A17" s="4" t="n">
        <v>33</v>
      </c>
      <c r="B17" s="4" t="n">
        <v>58000</v>
      </c>
      <c r="C17" s="4" t="n">
        <v>7</v>
      </c>
      <c r="D17" s="4" t="n">
        <v>720</v>
      </c>
      <c r="E17" s="4" t="n">
        <v>1</v>
      </c>
      <c r="F17" s="4" t="inlineStr">
        <is>
          <t>Master</t>
        </is>
      </c>
      <c r="G17" s="4" t="n">
        <v>0</v>
      </c>
      <c r="H17" s="5" t="n">
        <v>1</v>
      </c>
    </row>
    <row r="18">
      <c r="A18" s="2" t="n">
        <v>26</v>
      </c>
      <c r="B18" s="2" t="n">
        <v>31000</v>
      </c>
      <c r="C18" s="2" t="n">
        <v>2</v>
      </c>
      <c r="D18" s="2" t="n">
        <v>610</v>
      </c>
      <c r="E18" s="2" t="n">
        <v>2</v>
      </c>
      <c r="F18" s="2" t="inlineStr">
        <is>
          <t>High School</t>
        </is>
      </c>
      <c r="G18" s="2" t="n">
        <v>1</v>
      </c>
      <c r="H18" s="3" t="n">
        <v>0</v>
      </c>
    </row>
    <row r="19">
      <c r="A19" s="4" t="n">
        <v>43</v>
      </c>
      <c r="B19" s="4" t="n">
        <v>76000</v>
      </c>
      <c r="C19" s="4" t="n">
        <v>14</v>
      </c>
      <c r="D19" s="4" t="n">
        <v>770</v>
      </c>
      <c r="E19" s="4" t="n">
        <v>0</v>
      </c>
      <c r="F19" s="4" t="inlineStr">
        <is>
          <t>Bachelor</t>
        </is>
      </c>
      <c r="G19" s="4" t="n">
        <v>1</v>
      </c>
      <c r="H19" s="5" t="n">
        <v>1</v>
      </c>
    </row>
    <row r="20">
      <c r="A20" s="2" t="n">
        <v>30</v>
      </c>
      <c r="B20" s="2" t="n">
        <v>47000</v>
      </c>
      <c r="C20" s="2" t="n">
        <v>6</v>
      </c>
      <c r="D20" s="2" t="n">
        <v>670</v>
      </c>
      <c r="E20" s="2" t="n">
        <v>1</v>
      </c>
      <c r="F20" s="2" t="inlineStr">
        <is>
          <t>Bachelor</t>
        </is>
      </c>
      <c r="G20" s="2" t="n">
        <v>0</v>
      </c>
      <c r="H20" s="5" t="n">
        <v>1</v>
      </c>
    </row>
    <row r="21">
      <c r="A21" s="4" t="n">
        <v>21</v>
      </c>
      <c r="B21" s="4" t="n">
        <v>20000</v>
      </c>
      <c r="C21" s="4" t="n">
        <v>0</v>
      </c>
      <c r="D21" s="4" t="n">
        <v>560</v>
      </c>
      <c r="E21" s="4" t="n">
        <v>0</v>
      </c>
      <c r="F21" s="4" t="inlineStr">
        <is>
          <t>High School</t>
        </is>
      </c>
      <c r="G21" s="4" t="n">
        <v>0</v>
      </c>
      <c r="H21" s="3" t="n">
        <v>0</v>
      </c>
    </row>
    <row r="22">
      <c r="A22" s="2" t="n">
        <v>39</v>
      </c>
      <c r="B22" s="2" t="n">
        <v>63000</v>
      </c>
      <c r="C22" s="2" t="n">
        <v>11</v>
      </c>
      <c r="D22" s="2" t="n">
        <v>730</v>
      </c>
      <c r="E22" s="2" t="n">
        <v>2</v>
      </c>
      <c r="F22" s="2" t="inlineStr">
        <is>
          <t>Master</t>
        </is>
      </c>
      <c r="G22" s="2" t="n">
        <v>1</v>
      </c>
      <c r="H22" s="3" t="n">
        <v>0</v>
      </c>
    </row>
    <row r="23">
      <c r="A23" s="4" t="n">
        <v>50</v>
      </c>
      <c r="B23" s="4" t="n">
        <v>91000</v>
      </c>
      <c r="C23" s="4" t="n">
        <v>22</v>
      </c>
      <c r="D23" s="4" t="n">
        <v>810</v>
      </c>
      <c r="E23" s="4" t="n">
        <v>1</v>
      </c>
      <c r="F23" s="4" t="inlineStr">
        <is>
          <t>PhD</t>
        </is>
      </c>
      <c r="G23" s="4" t="n">
        <v>1</v>
      </c>
      <c r="H23" s="5" t="n">
        <v>1</v>
      </c>
    </row>
    <row r="24">
      <c r="A24" s="2" t="n">
        <v>24</v>
      </c>
      <c r="B24" s="2" t="n">
        <v>29000</v>
      </c>
      <c r="C24" s="2" t="n">
        <v>2</v>
      </c>
      <c r="D24" s="2" t="n">
        <v>595</v>
      </c>
      <c r="E24" s="2" t="n">
        <v>1</v>
      </c>
      <c r="F24" s="2" t="inlineStr">
        <is>
          <t>Bachelor</t>
        </is>
      </c>
      <c r="G24" s="2" t="n">
        <v>0</v>
      </c>
      <c r="H24" s="3" t="n">
        <v>0</v>
      </c>
    </row>
    <row r="25">
      <c r="A25" s="4" t="n">
        <v>46</v>
      </c>
      <c r="B25" s="4" t="n">
        <v>83000</v>
      </c>
      <c r="C25" s="4" t="n">
        <v>16</v>
      </c>
      <c r="D25" s="4" t="n">
        <v>785</v>
      </c>
      <c r="E25" s="4" t="n">
        <v>0</v>
      </c>
      <c r="F25" s="4" t="inlineStr">
        <is>
          <t>Master</t>
        </is>
      </c>
      <c r="G25" s="4" t="n">
        <v>1</v>
      </c>
      <c r="H25" s="5" t="n">
        <v>1</v>
      </c>
    </row>
    <row r="26">
      <c r="A26" s="2" t="n">
        <v>32</v>
      </c>
      <c r="B26" s="2" t="n">
        <v>52000</v>
      </c>
      <c r="C26" s="2" t="n">
        <v>6</v>
      </c>
      <c r="D26" s="2" t="n">
        <v>700</v>
      </c>
      <c r="E26" s="2" t="n">
        <v>0</v>
      </c>
      <c r="F26" s="2" t="inlineStr">
        <is>
          <t>Bachelor</t>
        </is>
      </c>
      <c r="G26" s="2" t="n">
        <v>1</v>
      </c>
      <c r="H26" s="5" t="n">
        <v>1</v>
      </c>
    </row>
    <row r="27">
      <c r="A27" s="4" t="n">
        <v>19</v>
      </c>
      <c r="B27" s="4" t="n">
        <v>18000</v>
      </c>
      <c r="C27" s="4" t="n">
        <v>0</v>
      </c>
      <c r="D27" s="4" t="n">
        <v>540</v>
      </c>
      <c r="E27" s="4" t="n">
        <v>0</v>
      </c>
      <c r="F27" s="4" t="inlineStr">
        <is>
          <t>High School</t>
        </is>
      </c>
      <c r="G27" s="4" t="n">
        <v>0</v>
      </c>
      <c r="H27" s="3" t="n">
        <v>0</v>
      </c>
    </row>
    <row r="28">
      <c r="A28" s="2" t="n">
        <v>37</v>
      </c>
      <c r="B28" s="2" t="n">
        <v>65000</v>
      </c>
      <c r="C28" s="2" t="n">
        <v>9</v>
      </c>
      <c r="D28" s="2" t="n">
        <v>745</v>
      </c>
      <c r="E28" s="2" t="n">
        <v>1</v>
      </c>
      <c r="F28" s="2" t="inlineStr">
        <is>
          <t>Bachelor</t>
        </is>
      </c>
      <c r="G28" s="2" t="n">
        <v>0</v>
      </c>
      <c r="H28" s="5" t="n">
        <v>1</v>
      </c>
    </row>
    <row r="29">
      <c r="A29" s="4" t="n">
        <v>53</v>
      </c>
      <c r="B29" s="4" t="n">
        <v>98000</v>
      </c>
      <c r="C29" s="4" t="n">
        <v>23</v>
      </c>
      <c r="D29" s="4" t="n">
        <v>815</v>
      </c>
      <c r="E29" s="4" t="n">
        <v>2</v>
      </c>
      <c r="F29" s="4" t="inlineStr">
        <is>
          <t>PhD</t>
        </is>
      </c>
      <c r="G29" s="4" t="n">
        <v>1</v>
      </c>
      <c r="H29" s="5" t="n">
        <v>1</v>
      </c>
    </row>
    <row r="30">
      <c r="A30" s="2" t="n">
        <v>28</v>
      </c>
      <c r="B30" s="2" t="n">
        <v>36000</v>
      </c>
      <c r="C30" s="2" t="n">
        <v>3</v>
      </c>
      <c r="D30" s="2" t="n">
        <v>625</v>
      </c>
      <c r="E30" s="2" t="n">
        <v>2</v>
      </c>
      <c r="F30" s="2" t="inlineStr">
        <is>
          <t>Bachelor</t>
        </is>
      </c>
      <c r="G30" s="2" t="n">
        <v>1</v>
      </c>
      <c r="H30" s="3" t="n">
        <v>0</v>
      </c>
    </row>
    <row r="31">
      <c r="A31" s="4" t="n">
        <v>44</v>
      </c>
      <c r="B31" s="4" t="n">
        <v>79000</v>
      </c>
      <c r="C31" s="4" t="n">
        <v>15</v>
      </c>
      <c r="D31" s="4" t="n">
        <v>775</v>
      </c>
      <c r="E31" s="4" t="n">
        <v>0</v>
      </c>
      <c r="F31" s="4" t="inlineStr">
        <is>
          <t>Master</t>
        </is>
      </c>
      <c r="G31" s="4" t="n">
        <v>1</v>
      </c>
      <c r="H31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6" t="inlineStr">
        <is>
          <t>Dataset Summary</t>
        </is>
      </c>
    </row>
    <row r="3">
      <c r="A3" s="7" t="inlineStr">
        <is>
          <t>Total Records</t>
        </is>
      </c>
      <c r="B3" s="8">
        <f>COUNTA('Loan Approval Data'!A2:A31)</f>
        <v/>
      </c>
    </row>
    <row r="4">
      <c r="A4" s="7" t="inlineStr">
        <is>
          <t>Approved</t>
        </is>
      </c>
      <c r="B4" s="8">
        <f>COUNTIF('Loan Approval Data'!H2:H31,1)</f>
        <v/>
      </c>
    </row>
    <row r="5">
      <c r="A5" s="7" t="inlineStr">
        <is>
          <t>Rejected</t>
        </is>
      </c>
      <c r="B5" s="8">
        <f>COUNTIF('Loan Approval Data'!H2:H31,0)</f>
        <v/>
      </c>
    </row>
    <row r="6">
      <c r="A6" s="7" t="inlineStr">
        <is>
          <t>Approval Rate</t>
        </is>
      </c>
      <c r="B6" s="9">
        <f>B4/B3</f>
        <v/>
      </c>
    </row>
    <row r="7">
      <c r="A7" s="7" t="n"/>
      <c r="B7" s="8" t="n"/>
    </row>
    <row r="8">
      <c r="A8" s="7" t="inlineStr">
        <is>
          <t>Avg Age</t>
        </is>
      </c>
      <c r="B8" s="8">
        <f>AVERAGE('Loan Approval Data'!A2:A31)</f>
        <v/>
      </c>
    </row>
    <row r="9">
      <c r="A9" s="7" t="inlineStr">
        <is>
          <t>Avg Salary</t>
        </is>
      </c>
      <c r="B9" s="10">
        <f>AVERAGE('Loan Approval Data'!B2:B31)</f>
        <v/>
      </c>
    </row>
    <row r="10">
      <c r="A10" s="7" t="inlineStr">
        <is>
          <t>Avg Credit Score</t>
        </is>
      </c>
      <c r="B10" s="8">
        <f>AVERAGE('Loan Approval Data'!D2:D31)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2026-06-29T19:11:27Z</dcterms:created>
  <dcterms:modified xmlns:dcterms="http://purl.org/dc/terms/" xmlns:xsi="http://www.w3.org/2001/XMLSchema-instance" xsi:type="dcterms:W3CDTF">2026-06-29T19:11:27Z</dcterms:modified>
</cp:coreProperties>
</file>